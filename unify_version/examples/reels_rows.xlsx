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441edabe646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els_rows" sheetId="1" r:id="R953ed1eb39ca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 hh:mm:ss"/>
    <x:numFmt numFmtId="202" formatCode="0.00&quot; day&quot;"/>
    <x:numFmt numFmtId="203" formatCode="#,##0"/>
    <x:numFmt numFmtId="204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6">
    <x:border/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40">
    <x:xf numFmtId="0" fontId="0" fillId="0" borderId="0" xfId="0"/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0" borderId="4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202" fontId="3" fillId="0" borderId="5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3" fontId="3" fillId="0" borderId="5" xfId="0" applyNumberFormat="1" applyFont="1" applyFill="1" applyBorder="1" applyAlignment="1">
      <x:alignment vertical="center"/>
    </x:xf>
    <x:xf numFmtId="204" fontId="3" fillId="0" borderId="4" xfId="0" applyNumberFormat="1" applyFont="1" applyFill="1" applyBorder="1" applyAlignment="1">
      <x:alignment vertical="center"/>
    </x:xf>
    <x:xf numFmtId="204" fontId="3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4996f946045d9" /><Relationship Type="http://schemas.openxmlformats.org/officeDocument/2006/relationships/theme" Target="/xl/theme/theme1.xml" Id="Ra2d9b2150ca24908" /><Relationship Type="http://schemas.microsoft.com/office/2022/11/relationships/FeaturePropertyBag" Target="/xl/featurePropertyBag/featurePropertyBag.xml" Id="R59a2a25c14364f66" /><Relationship Type="http://schemas.openxmlformats.org/officeDocument/2006/relationships/sharedStrings" Target="/xl/sharedStrings.xml" Id="Rb71bb5ce51d34187" /><Relationship Type="http://schemas.openxmlformats.org/officeDocument/2006/relationships/worksheet" Target="/xl/worksheets/sheet1.xml" Id="R953ed1eb39ca44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elsRowsTable" displayName="ReelsRowsTable" ref="A1:V3" headerRowCount="1" totalsRowCount="0" totalsRowShown="0">
  <x:autoFilter ref="A1:V3"/>
  <x:tableColumns count="22">
    <x:tableColumn id="1" name="collection_number"/>
    <x:tableColumn id="2" name="collection_label"/>
    <x:tableColumn id="3" name="days_since_previous"/>
    <x:tableColumn id="4" name="collected_at"/>
    <x:tableColumn id="5" name="url"/>
    <x:tableColumn id="6" name="user_id"/>
    <x:tableColumn id="7" name="username"/>
    <x:tableColumn id="8" name="title"/>
    <x:tableColumn id="9" name="hashtags"/>
    <x:tableColumn id="10" name="audio_name"/>
    <x:tableColumn id="11" name="location_name"/>
    <x:tableColumn id="12" name="ad"/>
    <x:tableColumn id="13" name="uploaded_at"/>
    <x:tableColumn id="14" name="days_since_upload"/>
    <x:tableColumn id="15" name="view_count"/>
    <x:tableColumn id="16" name="like_count"/>
    <x:tableColumn id="17" name="comment_count"/>
    <x:tableColumn id="18" name="repost_count"/>
    <x:tableColumn id="19" name="follower_count"/>
    <x:tableColumn id="20" name="reaction_rate"/>
    <x:tableColumn id="21" name="follower_count_collected_at"/>
    <x:tableColumn id="22" name="follower_lookup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da8e795e5041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20" hidden="0" customWidth="1"/>
    <x:col min="5" max="5" width="38" hidden="0" customWidth="1"/>
    <x:col min="6" max="6" width="21" hidden="0" customWidth="1"/>
    <x:col min="7" max="7" width="18" hidden="0" customWidth="1"/>
    <x:col min="8" max="8" width="28" hidden="0" customWidth="1"/>
    <x:col min="9" max="9" width="22" hidden="0" customWidth="1"/>
    <x:col min="10" max="10" width="20" hidden="0" customWidth="1"/>
    <x:col min="11" max="11" width="15" hidden="0" customWidth="1"/>
    <x:col min="12" max="12" width="8" hidden="0" customWidth="1"/>
    <x:col min="13" max="13" width="20" hidden="0" customWidth="1"/>
    <x:col min="14" max="14" width="16" hidden="0" customWidth="1"/>
    <x:col min="15" max="15" width="13" hidden="0" customWidth="1"/>
    <x:col min="16" max="16" width="12" hidden="0" customWidth="1"/>
    <x:col min="17" max="17" width="13" hidden="0" customWidth="1"/>
    <x:col min="18" max="18" width="12" hidden="0" customWidth="1"/>
    <x:col min="19" max="19" width="14" hidden="0" customWidth="1"/>
    <x:col min="20" max="20" width="13" hidden="0" customWidth="1"/>
    <x:col min="21" max="21" width="23" hidden="0" customWidth="1"/>
    <x:col min="22" max="22" width="18" hidden="0" customWidth="1"/>
  </x:cols>
  <x:sheetData>
    <x:row r="1" ht="30" customHeight="1">
      <x:c r="A1" s="17" t="str">
        <x:v>collection_number</x:v>
      </x:c>
      <x:c r="B1" s="18" t="str">
        <x:v>collection_label</x:v>
      </x:c>
      <x:c r="C1" s="18" t="str">
        <x:v>days_since_previous</x:v>
      </x:c>
      <x:c r="D1" s="18" t="str">
        <x:v>collected_at</x:v>
      </x:c>
      <x:c r="E1" s="18" t="str">
        <x:v>url</x:v>
      </x:c>
      <x:c r="F1" s="18" t="str">
        <x:v>user_id</x:v>
      </x:c>
      <x:c r="G1" s="18" t="str">
        <x:v>username</x:v>
      </x:c>
      <x:c r="H1" s="18" t="str">
        <x:v>title</x:v>
      </x:c>
      <x:c r="I1" s="18" t="str">
        <x:v>hashtags</x:v>
      </x:c>
      <x:c r="J1" s="18" t="str">
        <x:v>audio_name</x:v>
      </x:c>
      <x:c r="K1" s="18" t="str">
        <x:v>location_name</x:v>
      </x:c>
      <x:c r="L1" s="18" t="str">
        <x:v>ad</x:v>
      </x:c>
      <x:c r="M1" s="18" t="str">
        <x:v>uploaded_at</x:v>
      </x:c>
      <x:c r="N1" s="18" t="str">
        <x:v>days_since_upload</x:v>
      </x:c>
      <x:c r="O1" s="18" t="str">
        <x:v>view_count</x:v>
      </x:c>
      <x:c r="P1" s="18" t="str">
        <x:v>like_count</x:v>
      </x:c>
      <x:c r="Q1" s="18" t="str">
        <x:v>comment_count</x:v>
      </x:c>
      <x:c r="R1" s="18" t="str">
        <x:v>repost_count</x:v>
      </x:c>
      <x:c r="S1" s="18" t="str">
        <x:v>follower_count</x:v>
      </x:c>
      <x:c r="T1" s="18" t="str">
        <x:v>reaction_rate</x:v>
      </x:c>
      <x:c r="U1" s="18" t="str">
        <x:v>follower_count_collected_at</x:v>
      </x:c>
      <x:c r="V1" s="19" t="str">
        <x:v>follower_lookup_status</x:v>
      </x:c>
    </x:row>
    <x:row r="2">
      <x:c r="A2" s="26" t="n">
        <x:v>1</x:v>
      </x:c>
      <x:c r="B2" s="26" t="str">
        <x:v>Initial</x:v>
      </x:c>
      <x:c r="C2" s="34"/>
      <x:c r="D2" s="32" t="n">
        <x:v>46248</x:v>
      </x:c>
      <x:c r="E2" s="26" t="str">
        <x:v>https://www.instagram.com/reels/sampleCode/</x:v>
      </x:c>
      <x:c r="F2" s="27" t="str">
        <x:v>IG-123456789012345</x:v>
      </x:c>
      <x:c r="G2" s="26" t="str">
        <x:v>sample_user</x:v>
      </x:c>
      <x:c r="H2" s="26" t="str">
        <x:v>첫 번째 수집 샘플</x:v>
      </x:c>
      <x:c r="I2" s="26" t="str">
        <x:v>#맛집 #서울</x:v>
      </x:c>
      <x:c r="J2" s="26" t="str">
        <x:v>sample audio</x:v>
      </x:c>
      <x:c r="K2" s="26" t="str">
        <x:v>Seoul</x:v>
      </x:c>
      <x:c r="L2" s="28" t="b">
        <x:v>0</x:v>
      </x:c>
      <x:c r="M2" s="32" t="n">
        <x:v>46247</x:v>
      </x:c>
      <x:c r="N2" s="34" t="n">
        <x:f>D2-M2</x:f>
        <x:v>1</x:v>
      </x:c>
      <x:c r="O2" s="36" t="n">
        <x:v>1000</x:v>
      </x:c>
      <x:c r="P2" s="36" t="n">
        <x:v>100</x:v>
      </x:c>
      <x:c r="Q2" s="36" t="n">
        <x:v>20</x:v>
      </x:c>
      <x:c r="R2" s="36" t="n">
        <x:v>5</x:v>
      </x:c>
      <x:c r="S2" s="36" t="n">
        <x:v>2000</x:v>
      </x:c>
      <x:c r="T2" s="38" t="n">
        <x:f>IFERROR(P2/S2,0)</x:f>
        <x:v>0.05</x:v>
      </x:c>
      <x:c r="U2" s="32" t="n">
        <x:v>46248</x:v>
      </x:c>
      <x:c r="V2" s="26" t="str">
        <x:v>success</x:v>
      </x:c>
    </x:row>
    <x:row r="3">
      <x:c r="A3" s="29" t="n">
        <x:v>2</x:v>
      </x:c>
      <x:c r="B3" s="29" t="str">
        <x:v>2nd collect</x:v>
      </x:c>
      <x:c r="C3" s="35" t="n">
        <x:f>D3-D2</x:f>
        <x:v>0.25</x:v>
      </x:c>
      <x:c r="D3" s="33" t="n">
        <x:v>46248.25</x:v>
      </x:c>
      <x:c r="E3" s="29" t="str">
        <x:v>https://www.instagram.com/reels/sampleCode/</x:v>
      </x:c>
      <x:c r="F3" s="30" t="str">
        <x:v>IG-123456789012345</x:v>
      </x:c>
      <x:c r="G3" s="29" t="str">
        <x:v>sample_user</x:v>
      </x:c>
      <x:c r="H3" s="29" t="str">
        <x:v>첫 번째 수집 샘플</x:v>
      </x:c>
      <x:c r="I3" s="29" t="str">
        <x:v>#맛집 #서울</x:v>
      </x:c>
      <x:c r="J3" s="29" t="str">
        <x:v>sample audio</x:v>
      </x:c>
      <x:c r="K3" s="29" t="str">
        <x:v>Seoul</x:v>
      </x:c>
      <x:c r="L3" s="31" t="b">
        <x:v>0</x:v>
      </x:c>
      <x:c r="M3" s="33" t="n">
        <x:v>46247</x:v>
      </x:c>
      <x:c r="N3" s="35" t="n">
        <x:f>D3-M3</x:f>
        <x:v>1.25</x:v>
      </x:c>
      <x:c r="O3" s="37" t="n">
        <x:v>1250</x:v>
      </x:c>
      <x:c r="P3" s="37" t="n">
        <x:v>120</x:v>
      </x:c>
      <x:c r="Q3" s="37" t="n">
        <x:v>25</x:v>
      </x:c>
      <x:c r="R3" s="37" t="n">
        <x:v>6</x:v>
      </x:c>
      <x:c r="S3" s="37" t="n">
        <x:v>2050</x:v>
      </x:c>
      <x:c r="T3" s="39" t="n">
        <x:f>IFERROR(P3/S3,0)</x:f>
        <x:v>0.05853658536585366</x:v>
      </x:c>
      <x:c r="U3" s="33" t="n">
        <x:v>46248.25</x:v>
      </x:c>
      <x:c r="V3" s="29" t="str">
        <x:v>success</x:v>
      </x:c>
    </x:row>
  </x:sheetData>
  <x:pageMargins left="0.7" right="0.7" top="0.75" bottom="0.75" header="0.3" footer="0.3"/>
  <x:tableParts count="1">
    <x:tablePart xmlns:r="http://schemas.openxmlformats.org/officeDocument/2006/relationships" r:id="R16da8e795e5041ef"/>
  </x:tableParts>
</x:worksheet>
</file>