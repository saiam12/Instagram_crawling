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d63e0153f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els_columns" sheetId="1" r:id="R9eb575323150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0.00&quot; day&quot;"/>
    <x:numFmt numFmtId="203" formatCode="#,##0"/>
    <x:numFmt numFmtId="204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30">
    <x:xf numFmtId="0" fontId="0" fillId="0" borderId="0" xfId="0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e6ad94f914a07" /><Relationship Type="http://schemas.openxmlformats.org/officeDocument/2006/relationships/theme" Target="/xl/theme/theme1.xml" Id="R13b50c653fa047eb" /><Relationship Type="http://schemas.microsoft.com/office/2022/11/relationships/FeaturePropertyBag" Target="/xl/featurePropertyBag/featurePropertyBag.xml" Id="Rea5102da12744ee3" /><Relationship Type="http://schemas.openxmlformats.org/officeDocument/2006/relationships/sharedStrings" Target="/xl/sharedStrings.xml" Id="R2b56ce8fdc2b4469" /><Relationship Type="http://schemas.openxmlformats.org/officeDocument/2006/relationships/worksheet" Target="/xl/worksheets/sheet1.xml" Id="R9eb57532315049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elsColumnsTable" displayName="ReelsColumnsTable" ref="A1:AA2" headerRowCount="1" totalsRowCount="0" totalsRowShown="0">
  <x:autoFilter ref="A1:AA2"/>
  <x:tableColumns count="27">
    <x:tableColumn id="1" name="collected_at"/>
    <x:tableColumn id="2" name="url"/>
    <x:tableColumn id="3" name="user_id"/>
    <x:tableColumn id="4" name="username"/>
    <x:tableColumn id="5" name="title"/>
    <x:tableColumn id="6" name="hashtags"/>
    <x:tableColumn id="7" name="audio_name"/>
    <x:tableColumn id="8" name="location_name"/>
    <x:tableColumn id="9" name="ad"/>
    <x:tableColumn id="10" name="uploaded_at"/>
    <x:tableColumn id="11" name="days_since_upload"/>
    <x:tableColumn id="12" name="view_count"/>
    <x:tableColumn id="13" name="like_count"/>
    <x:tableColumn id="14" name="comment_count"/>
    <x:tableColumn id="15" name="repost_count"/>
    <x:tableColumn id="16" name="follower_count"/>
    <x:tableColumn id="17" name="reaction_rate"/>
    <x:tableColumn id="18" name="follower_count_collected_at"/>
    <x:tableColumn id="19" name="follower_lookup_status"/>
    <x:tableColumn id="20" name="2nd collect_collected_at"/>
    <x:tableColumn id="21" name="2nd collect_days_since_upload"/>
    <x:tableColumn id="22" name="2nd collect_view_count"/>
    <x:tableColumn id="23" name="2nd collect_like_count"/>
    <x:tableColumn id="24" name="2nd collect_comment_count"/>
    <x:tableColumn id="25" name="2nd collect_repost_count"/>
    <x:tableColumn id="26" name="2nd collect_follower_count"/>
    <x:tableColumn id="27" name="2nd collect_reaction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2545787fe646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1" hidden="0" customWidth="1"/>
    <x:col min="4" max="4" width="18" hidden="0" customWidth="1"/>
    <x:col min="5" max="5" width="28" hidden="0" customWidth="1"/>
    <x:col min="6" max="6" width="22" hidden="0" customWidth="1"/>
    <x:col min="7" max="7" width="20" hidden="0" customWidth="1"/>
    <x:col min="8" max="8" width="15" hidden="0" customWidth="1"/>
    <x:col min="9" max="9" width="8" hidden="0" customWidth="1"/>
    <x:col min="10" max="10" width="20" hidden="0" customWidth="1"/>
    <x:col min="11" max="11" width="16" hidden="0" customWidth="1"/>
    <x:col min="12" max="12" width="13" hidden="0" customWidth="1"/>
    <x:col min="13" max="13" width="12" hidden="0" customWidth="1"/>
    <x:col min="14" max="14" width="13" hidden="0" customWidth="1"/>
    <x:col min="15" max="15" width="12" hidden="0" customWidth="1"/>
    <x:col min="16" max="16" width="14" hidden="0" customWidth="1"/>
    <x:col min="17" max="17" width="13" hidden="0" customWidth="1"/>
    <x:col min="18" max="18" width="23" hidden="0" customWidth="1"/>
    <x:col min="19" max="19" width="18" hidden="0" customWidth="1"/>
    <x:col min="20" max="20" width="21" hidden="0" customWidth="1"/>
    <x:col min="21" max="21" width="18" hidden="0" customWidth="1"/>
    <x:col min="22" max="22" width="16" hidden="0" customWidth="1"/>
    <x:col min="23" max="23" width="15" hidden="0" customWidth="1"/>
    <x:col min="24" max="24" width="17" hidden="0" customWidth="1"/>
    <x:col min="25" max="25" width="16" hidden="0" customWidth="1"/>
    <x:col min="26" max="26" width="18" hidden="0" customWidth="1"/>
    <x:col min="27" max="27" width="17" hidden="0" customWidth="1"/>
  </x:cols>
  <x:sheetData>
    <x:row r="1" ht="30" customHeight="1">
      <x:c r="A1" s="17" t="str">
        <x:v>collected_at</x:v>
      </x:c>
      <x:c r="B1" s="18" t="str">
        <x:v>url</x:v>
      </x:c>
      <x:c r="C1" s="18" t="str">
        <x:v>user_id</x:v>
      </x:c>
      <x:c r="D1" s="18" t="str">
        <x:v>username</x:v>
      </x:c>
      <x:c r="E1" s="18" t="str">
        <x:v>title</x:v>
      </x:c>
      <x:c r="F1" s="18" t="str">
        <x:v>hashtags</x:v>
      </x:c>
      <x:c r="G1" s="18" t="str">
        <x:v>audio_name</x:v>
      </x:c>
      <x:c r="H1" s="18" t="str">
        <x:v>location_name</x:v>
      </x:c>
      <x:c r="I1" s="18" t="str">
        <x:v>ad</x:v>
      </x:c>
      <x:c r="J1" s="18" t="str">
        <x:v>uploaded_at</x:v>
      </x:c>
      <x:c r="K1" s="18" t="str">
        <x:v>days_since_upload</x:v>
      </x:c>
      <x:c r="L1" s="18" t="str">
        <x:v>view_count</x:v>
      </x:c>
      <x:c r="M1" s="18" t="str">
        <x:v>like_count</x:v>
      </x:c>
      <x:c r="N1" s="18" t="str">
        <x:v>comment_count</x:v>
      </x:c>
      <x:c r="O1" s="18" t="str">
        <x:v>repost_count</x:v>
      </x:c>
      <x:c r="P1" s="18" t="str">
        <x:v>follower_count</x:v>
      </x:c>
      <x:c r="Q1" s="18" t="str">
        <x:v>reaction_rate</x:v>
      </x:c>
      <x:c r="R1" s="18" t="str">
        <x:v>follower_count_collected_at</x:v>
      </x:c>
      <x:c r="S1" s="18" t="str">
        <x:v>follower_lookup_status</x:v>
      </x:c>
      <x:c r="T1" s="18" t="str">
        <x:v>2nd collect_collected_at</x:v>
      </x:c>
      <x:c r="U1" s="18" t="str">
        <x:v>2nd collect_days_since_upload</x:v>
      </x:c>
      <x:c r="V1" s="18" t="str">
        <x:v>2nd collect_view_count</x:v>
      </x:c>
      <x:c r="W1" s="18" t="str">
        <x:v>2nd collect_like_count</x:v>
      </x:c>
      <x:c r="X1" s="18" t="str">
        <x:v>2nd collect_comment_count</x:v>
      </x:c>
      <x:c r="Y1" s="18" t="str">
        <x:v>2nd collect_repost_count</x:v>
      </x:c>
      <x:c r="Z1" s="18" t="str">
        <x:v>2nd collect_follower_count</x:v>
      </x:c>
      <x:c r="AA1" s="19" t="str">
        <x:v>2nd collect_reaction_rate</x:v>
      </x:c>
    </x:row>
    <x:row r="2">
      <x:c r="A2" s="26" t="n">
        <x:v>46248</x:v>
      </x:c>
      <x:c r="B2" s="23" t="str">
        <x:v>https://www.instagram.com/reels/sampleCode/</x:v>
      </x:c>
      <x:c r="C2" s="24" t="str">
        <x:v>IG-123456789012345</x:v>
      </x:c>
      <x:c r="D2" s="23" t="str">
        <x:v>sample_user</x:v>
      </x:c>
      <x:c r="E2" s="23" t="str">
        <x:v>첫 번째 수집 샘플</x:v>
      </x:c>
      <x:c r="F2" s="23" t="str">
        <x:v>#맛집 #서울</x:v>
      </x:c>
      <x:c r="G2" s="23" t="str">
        <x:v>sample audio</x:v>
      </x:c>
      <x:c r="H2" s="23" t="str">
        <x:v>Seoul</x:v>
      </x:c>
      <x:c r="I2" s="25" t="b">
        <x:v>0</x:v>
      </x:c>
      <x:c r="J2" s="26" t="n">
        <x:v>46247</x:v>
      </x:c>
      <x:c r="K2" s="27" t="n">
        <x:f>A2-J2</x:f>
        <x:v>1</x:v>
      </x:c>
      <x:c r="L2" s="28" t="n">
        <x:v>1000</x:v>
      </x:c>
      <x:c r="M2" s="28" t="n">
        <x:v>100</x:v>
      </x:c>
      <x:c r="N2" s="28" t="n">
        <x:v>20</x:v>
      </x:c>
      <x:c r="O2" s="28" t="n">
        <x:v>5</x:v>
      </x:c>
      <x:c r="P2" s="28" t="n">
        <x:v>2000</x:v>
      </x:c>
      <x:c r="Q2" s="29" t="n">
        <x:f>IFERROR(M2/P2,0)</x:f>
        <x:v>0.05</x:v>
      </x:c>
      <x:c r="R2" s="26" t="n">
        <x:v>46248</x:v>
      </x:c>
      <x:c r="S2" s="23" t="str">
        <x:v>success</x:v>
      </x:c>
      <x:c r="T2" s="26" t="n">
        <x:v>46248.25</x:v>
      </x:c>
      <x:c r="U2" s="27" t="n">
        <x:f>T2-J2</x:f>
        <x:v>1.25</x:v>
      </x:c>
      <x:c r="V2" s="28" t="n">
        <x:v>1250</x:v>
      </x:c>
      <x:c r="W2" s="28" t="n">
        <x:v>120</x:v>
      </x:c>
      <x:c r="X2" s="28" t="n">
        <x:v>25</x:v>
      </x:c>
      <x:c r="Y2" s="28" t="n">
        <x:v>6</x:v>
      </x:c>
      <x:c r="Z2" s="28" t="n">
        <x:v>2050</x:v>
      </x:c>
      <x:c r="AA2" s="29" t="n">
        <x:f>IFERROR(W2/Z2,0)</x:f>
        <x:v>0.05853658536585366</x:v>
      </x:c>
    </x:row>
  </x:sheetData>
  <x:pageMargins left="0.7" right="0.7" top="0.75" bottom="0.75" header="0.3" footer="0.3"/>
  <x:tableParts count="1">
    <x:tablePart xmlns:r="http://schemas.openxmlformats.org/officeDocument/2006/relationships" r:id="Re22545787fe64643"/>
  </x:tableParts>
</x:worksheet>
</file>